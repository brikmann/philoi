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rgets" sheetId="1" state="visible" r:id="rId3"/>
    <sheet name="Summa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<sst xmlns="http://schemas.openxmlformats.org/spreadsheetml/2006/main" count="541" uniqueCount="135">
  <si>
    <t xml:space="preserve">Philoi Campus Seeding Tracker — Laurier + Waterloo</t>
  </si>
  <si>
    <t xml:space="preserve">Legend: fill in the shaded columns — Contact/handle, Status, Next step, Notes. Status is a dropdown. Phases: 1 Laurier residences → 2 Laurier clubs (one per demographic) → 3 Waterloo spark → 4 Waterloo broad + rivalry board. Confirm club execs at clubs.wusa.ca / yourstudentsunion.ca.</t>
  </si>
  <si>
    <t xml:space="preserve">Phase</t>
  </si>
  <si>
    <t xml:space="preserve">Target</t>
  </si>
  <si>
    <t xml:space="preserve">Campus</t>
  </si>
  <si>
    <t xml:space="preserve">Type</t>
  </si>
  <si>
    <t xml:space="preserve">Demographic</t>
  </si>
  <si>
    <t xml:space="preserve">Gatekeeper (who says yes)</t>
  </si>
  <si>
    <t xml:space="preserve">Contact / handle</t>
  </si>
  <si>
    <t xml:space="preserve">Angle / the ask</t>
  </si>
  <si>
    <t xml:space="preserve">Status</t>
  </si>
  <si>
    <t xml:space="preserve">Next step</t>
  </si>
  <si>
    <t xml:space="preserve">Notes</t>
  </si>
  <si>
    <t xml:space="preserve">1</t>
  </si>
  <si>
    <t xml:space="preserve">Willison Hall (EXAMPLE)</t>
  </si>
  <si>
    <t xml:space="preserve">Laurier</t>
  </si>
  <si>
    <t xml:space="preserve">Residence</t>
  </si>
  <si>
    <t xml:space="preserve">First-year</t>
  </si>
  <si>
    <t xml:space="preserve">Res Life (Mgr/Dir of Residence Life)</t>
  </si>
  <si>
    <t xml:space="preserve">@don_name / email</t>
  </si>
  <si>
    <t xml:space="preserve">Floor-vs-floor lock-in challenge (pilot)</t>
  </si>
  <si>
    <t xml:space="preserve">Reached out</t>
  </si>
  <si>
    <t xml:space="preserve">Booked 15-min intro Fri</t>
  </si>
  <si>
    <t xml:space="preserve">Biggest dorm ~249 — top priority</t>
  </si>
  <si>
    <t xml:space="preserve">Willison Hall</t>
  </si>
  <si>
    <t xml:space="preserve">Floor-vs-floor lock-in challenge (Res Life pilot)</t>
  </si>
  <si>
    <t xml:space="preserve">Not started</t>
  </si>
  <si>
    <t xml:space="preserve">Bouckaert Hall</t>
  </si>
  <si>
    <t xml:space="preserve">Clara Conrad Hall</t>
  </si>
  <si>
    <t xml:space="preserve">Euler Residence</t>
  </si>
  <si>
    <t xml:space="preserve">Leupold Residence</t>
  </si>
  <si>
    <t xml:space="preserve">Macdonald House</t>
  </si>
  <si>
    <t xml:space="preserve">King St. Residence</t>
  </si>
  <si>
    <t xml:space="preserve">C.H. Little House</t>
  </si>
  <si>
    <t xml:space="preserve">Waterloo College Hall</t>
  </si>
  <si>
    <t xml:space="preserve">Bricker Residence</t>
  </si>
  <si>
    <t xml:space="preserve">First-year (apt)</t>
  </si>
  <si>
    <t xml:space="preserve">Marshall Street Apartments</t>
  </si>
  <si>
    <t xml:space="preserve">Upper/first (apt)</t>
  </si>
  <si>
    <t xml:space="preserve">SBESS (Business &amp; Econ Students' Society)</t>
  </si>
  <si>
    <t xml:space="preserve">Club</t>
  </si>
  <si>
    <t xml:space="preserve">Business</t>
  </si>
  <si>
    <t xml:space="preserve">Club exec (president)</t>
  </si>
  <si>
    <t xml:space="preserve">Study/grind accountability + grade-tracker wedge</t>
  </si>
  <si>
    <t xml:space="preserve">GDSC Laurier (Google Dev Student Club)</t>
  </si>
  <si>
    <t xml:space="preserve">Tech</t>
  </si>
  <si>
    <t xml:space="preserve">Deep-work / build-streak accountability</t>
  </si>
  <si>
    <t xml:space="preserve">Fitness Boxing Club</t>
  </si>
  <si>
    <t xml:space="preserve">Sport club</t>
  </si>
  <si>
    <t xml:space="preserve">Athletic</t>
  </si>
  <si>
    <t xml:space="preserve">Rec dept / club exec</t>
  </si>
  <si>
    <t xml:space="preserve">Team accountability + season training challenge</t>
  </si>
  <si>
    <t xml:space="preserve">Wellness Education (peer team)</t>
  </si>
  <si>
    <t xml:space="preserve">Service</t>
  </si>
  <si>
    <t xml:space="preserve">Wellness</t>
  </si>
  <si>
    <t xml:space="preserve">Community + habit — lowest-pressure entry</t>
  </si>
  <si>
    <t xml:space="preserve">Laurier Marketing Association</t>
  </si>
  <si>
    <t xml:space="preserve">Laurier Finance / Student Investment Fund</t>
  </si>
  <si>
    <t xml:space="preserve">Laurier Economics Club</t>
  </si>
  <si>
    <t xml:space="preserve">Laurier Accounting Association</t>
  </si>
  <si>
    <t xml:space="preserve">Laurier Consulting Club</t>
  </si>
  <si>
    <t xml:space="preserve">Enactus Laurier</t>
  </si>
  <si>
    <t xml:space="preserve">Entrepreneurship</t>
  </si>
  <si>
    <t xml:space="preserve">DECA U Laurier</t>
  </si>
  <si>
    <t xml:space="preserve">Competitive Dance Club</t>
  </si>
  <si>
    <t xml:space="preserve">Ball Hockey Club</t>
  </si>
  <si>
    <t xml:space="preserve">Cricket Club</t>
  </si>
  <si>
    <t xml:space="preserve">Field Hockey Club</t>
  </si>
  <si>
    <t xml:space="preserve">Flag Football Club</t>
  </si>
  <si>
    <t xml:space="preserve">Grappling Club</t>
  </si>
  <si>
    <t xml:space="preserve">Men's Lacrosse Club</t>
  </si>
  <si>
    <t xml:space="preserve">Badminton Club</t>
  </si>
  <si>
    <t xml:space="preserve">Intramurals (Rec)</t>
  </si>
  <si>
    <t xml:space="preserve">Rec</t>
  </si>
  <si>
    <t xml:space="preserve">LaunchPad / Schlegel entrepreneurs</t>
  </si>
  <si>
    <t xml:space="preserve">Program</t>
  </si>
  <si>
    <t xml:space="preserve">Laurier CS / Data Science society</t>
  </si>
  <si>
    <t xml:space="preserve">Laurier Game Dev</t>
  </si>
  <si>
    <t xml:space="preserve">Tech/creative</t>
  </si>
  <si>
    <t xml:space="preserve">Laurier Music crowd</t>
  </si>
  <si>
    <t xml:space="preserve">Faculty</t>
  </si>
  <si>
    <t xml:space="preserve">Creative</t>
  </si>
  <si>
    <t xml:space="preserve">Foot Patrol</t>
  </si>
  <si>
    <t xml:space="preserve">MSA (Muslim Students' Assoc)</t>
  </si>
  <si>
    <t xml:space="preserve">Cultural</t>
  </si>
  <si>
    <t xml:space="preserve">Residence councils</t>
  </si>
  <si>
    <t xml:space="preserve">Residence org</t>
  </si>
  <si>
    <t xml:space="preserve">Renison University College</t>
  </si>
  <si>
    <t xml:space="preserve">Waterloo</t>
  </si>
  <si>
    <t xml:space="preserve">First-year (affiliate)</t>
  </si>
  <si>
    <t xml:space="preserve">Conrad Grebel University College</t>
  </si>
  <si>
    <t xml:space="preserve">St. Jerome's University</t>
  </si>
  <si>
    <t xml:space="preserve">United College</t>
  </si>
  <si>
    <t xml:space="preserve">Village 1 (V1)</t>
  </si>
  <si>
    <t xml:space="preserve">UW Place (UWP)</t>
  </si>
  <si>
    <t xml:space="preserve">Claudette Millar Hall (CMH)</t>
  </si>
  <si>
    <t xml:space="preserve">Mackenzie King Village (MKV)</t>
  </si>
  <si>
    <t xml:space="preserve">Columbia Lake Village (CLV)</t>
  </si>
  <si>
    <t xml:space="preserve">Upper-year</t>
  </si>
  <si>
    <t xml:space="preserve">UW Blueprint</t>
  </si>
  <si>
    <t xml:space="preserve">Design team</t>
  </si>
  <si>
    <t xml:space="preserve">Hack the North</t>
  </si>
  <si>
    <t xml:space="preserve">WATonomous</t>
  </si>
  <si>
    <t xml:space="preserve">Midnight Sun (solar car)</t>
  </si>
  <si>
    <t xml:space="preserve">UW Robotics / WARG</t>
  </si>
  <si>
    <t xml:space="preserve">Waterloo Rocketry</t>
  </si>
  <si>
    <t xml:space="preserve">Waterloo Formula Electric</t>
  </si>
  <si>
    <t xml:space="preserve">Data Science Club</t>
  </si>
  <si>
    <t xml:space="preserve">Women in Computer Science (WiCS)</t>
  </si>
  <si>
    <t xml:space="preserve">Computer Science Club (CSC)</t>
  </si>
  <si>
    <t xml:space="preserve">UW Cybersecurity</t>
  </si>
  <si>
    <t xml:space="preserve">Waterloo Reality Labs (AR/VR)</t>
  </si>
  <si>
    <t xml:space="preserve">Electrium Mobility</t>
  </si>
  <si>
    <t xml:space="preserve">MathSoc</t>
  </si>
  <si>
    <t xml:space="preserve">Society</t>
  </si>
  <si>
    <t xml:space="preserve">EngSoc</t>
  </si>
  <si>
    <t xml:space="preserve">SciSoc</t>
  </si>
  <si>
    <t xml:space="preserve">Accounting &amp; Finance Students' Assoc (AFSA)</t>
  </si>
  <si>
    <t xml:space="preserve">Actuarial Science Club</t>
  </si>
  <si>
    <t xml:space="preserve">Kinesiology society</t>
  </si>
  <si>
    <t xml:space="preserve">Enactus Waterloo</t>
  </si>
  <si>
    <t xml:space="preserve">Product Management Club</t>
  </si>
  <si>
    <t xml:space="preserve">Young Entrepreneurs / Velocity crowd</t>
  </si>
  <si>
    <t xml:space="preserve">Warriors intramurals</t>
  </si>
  <si>
    <t xml:space="preserve">Run club</t>
  </si>
  <si>
    <t xml:space="preserve">Training challenge — first Laurier-vs-Waterloo board</t>
  </si>
  <si>
    <t xml:space="preserve">Climbing / Cycling clubs</t>
  </si>
  <si>
    <t xml:space="preserve">Pipeline</t>
  </si>
  <si>
    <t xml:space="preserve">Count</t>
  </si>
  <si>
    <t xml:space="preserve">In talks</t>
  </si>
  <si>
    <t xml:space="preserve">Piloting</t>
  </si>
  <si>
    <t xml:space="preserve">Live</t>
  </si>
  <si>
    <t xml:space="preserve">Passed</t>
  </si>
  <si>
    <t xml:space="preserve">Total</t>
  </si>
  <si>
    <t xml:space="preserve">By campus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</si>
</sst>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2C1B36"/>
      <name val="Arial"/>
      <family val="0"/>
      <charset val="1"/>
    </font>
    <font>
      <i val="true"/>
      <sz val="9"/>
      <color rgb="FF6E64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9A8FB0"/>
      <name val="Arial"/>
      <family val="0"/>
      <charset val="1"/>
    </font>
    <font>
      <sz val="9"/>
      <name val="Arial"/>
      <family val="0"/>
      <charset val="1"/>
    </font>
    <font>
      <b val="true"/>
      <sz val="14"/>
      <color rgb="FF2C1B3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C1B36"/>
        <bgColor rgb="FF333300"/>
      </patternFill>
    </fill>
    <fill>
      <patternFill patternType="solid">
        <fgColor rgb="FFFFF3D6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2E0"/>
      </left>
      <right style="thin">
        <color rgb="FFD9D2E0"/>
      </right>
      <top style="thin">
        <color rgb="FFD9D2E0"/>
      </top>
      <bottom style="thin">
        <color rgb="FFD9D2E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3D6"/>
      <rgbColor rgb="FFCCFFFF"/>
      <rgbColor rgb="FF660066"/>
      <rgbColor rgb="FFFF8080"/>
      <rgbColor rgb="FF0066CC"/>
      <rgbColor rgb="FFD9D2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E6480"/>
      <rgbColor rgb="FF9A8FB0"/>
      <rgbColor rgb="FF003366"/>
      <rgbColor rgb="FF339966"/>
      <rgbColor rgb="FF003300"/>
      <rgbColor rgb="FF333300"/>
      <rgbColor rgb="FF993300"/>
      <rgbColor rgb="FF993366"/>
      <rgbColor rgb="FF333399"/>
      <rgbColor rgb="FF2C1B3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7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4"/>
    <col collapsed="false" customWidth="true" hidden="false" outlineLevel="0" max="3" min="3" style="0" width="10"/>
    <col collapsed="false" customWidth="true" hidden="false" outlineLevel="0" max="4" min="4" style="0" width="13"/>
    <col collapsed="false" customWidth="true" hidden="false" outlineLevel="0" max="5" min="5" style="0" width="15"/>
    <col collapsed="false" customWidth="true" hidden="false" outlineLevel="0" max="6" min="6" style="0" width="26"/>
    <col collapsed="false" customWidth="true" hidden="false" outlineLevel="0" max="7" min="7" style="0" width="20"/>
    <col collapsed="false" customWidth="true" hidden="false" outlineLevel="0" max="8" min="8" style="0" width="34"/>
    <col collapsed="false" customWidth="true" hidden="false" outlineLevel="0" max="9" min="9" style="0" width="13"/>
    <col collapsed="false" customWidth="true" hidden="false" outlineLevel="0" max="10" min="10" style="0" width="22"/>
    <col collapsed="false" customWidth="true" hidden="false" outlineLevel="0" max="11" min="11" style="0" width="26"/>
  </cols>
  <sheetData>
    <row r="1" customFormat="false" ht="18.5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42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customFormat="false" ht="22.35" hidden="false" customHeight="false" outlineLevel="0" collapsed="false">
      <c r="A5" s="4" t="s">
        <v>13</v>
      </c>
      <c r="B5" s="4" t="s">
        <v>14</v>
      </c>
      <c r="C5" s="4" t="s">
        <v>15</v>
      </c>
      <c r="D5" s="4" t="s">
        <v>16</v>
      </c>
      <c r="E5" s="4" t="s">
        <v>17</v>
      </c>
      <c r="F5" s="4" t="s">
        <v>18</v>
      </c>
      <c r="G5" s="4" t="s">
        <v>19</v>
      </c>
      <c r="H5" s="4" t="s">
        <v>20</v>
      </c>
      <c r="I5" s="4" t="s">
        <v>21</v>
      </c>
      <c r="J5" s="4" t="s">
        <v>22</v>
      </c>
      <c r="K5" s="4" t="s">
        <v>23</v>
      </c>
    </row>
    <row r="6" customFormat="false" ht="22.35" hidden="false" customHeight="false" outlineLevel="0" collapsed="false">
      <c r="A6" s="5" t="n">
        <v>1</v>
      </c>
      <c r="B6" s="6" t="s">
        <v>24</v>
      </c>
      <c r="C6" s="6" t="s">
        <v>15</v>
      </c>
      <c r="D6" s="6" t="s">
        <v>16</v>
      </c>
      <c r="E6" s="6" t="s">
        <v>17</v>
      </c>
      <c r="F6" s="6" t="s">
        <v>18</v>
      </c>
      <c r="G6" s="7"/>
      <c r="H6" s="6" t="s">
        <v>25</v>
      </c>
      <c r="I6" s="7" t="s">
        <v>26</v>
      </c>
      <c r="J6" s="7"/>
      <c r="K6" s="7"/>
    </row>
    <row r="7" customFormat="false" ht="22.35" hidden="false" customHeight="false" outlineLevel="0" collapsed="false">
      <c r="A7" s="5" t="n">
        <v>1</v>
      </c>
      <c r="B7" s="6" t="s">
        <v>27</v>
      </c>
      <c r="C7" s="6" t="s">
        <v>15</v>
      </c>
      <c r="D7" s="6" t="s">
        <v>16</v>
      </c>
      <c r="E7" s="6" t="s">
        <v>17</v>
      </c>
      <c r="F7" s="6" t="s">
        <v>18</v>
      </c>
      <c r="G7" s="7"/>
      <c r="H7" s="6" t="s">
        <v>25</v>
      </c>
      <c r="I7" s="7" t="s">
        <v>26</v>
      </c>
      <c r="J7" s="7"/>
      <c r="K7" s="7"/>
    </row>
    <row r="8" customFormat="false" ht="22.35" hidden="false" customHeight="false" outlineLevel="0" collapsed="false">
      <c r="A8" s="5" t="n">
        <v>1</v>
      </c>
      <c r="B8" s="6" t="s">
        <v>28</v>
      </c>
      <c r="C8" s="6" t="s">
        <v>15</v>
      </c>
      <c r="D8" s="6" t="s">
        <v>16</v>
      </c>
      <c r="E8" s="6" t="s">
        <v>17</v>
      </c>
      <c r="F8" s="6" t="s">
        <v>18</v>
      </c>
      <c r="G8" s="7"/>
      <c r="H8" s="6" t="s">
        <v>25</v>
      </c>
      <c r="I8" s="7" t="s">
        <v>26</v>
      </c>
      <c r="J8" s="7"/>
      <c r="K8" s="7"/>
    </row>
    <row r="9" customFormat="false" ht="22.35" hidden="false" customHeight="false" outlineLevel="0" collapsed="false">
      <c r="A9" s="5" t="n">
        <v>1</v>
      </c>
      <c r="B9" s="6" t="s">
        <v>29</v>
      </c>
      <c r="C9" s="6" t="s">
        <v>15</v>
      </c>
      <c r="D9" s="6" t="s">
        <v>16</v>
      </c>
      <c r="E9" s="6" t="s">
        <v>17</v>
      </c>
      <c r="F9" s="6" t="s">
        <v>18</v>
      </c>
      <c r="G9" s="7"/>
      <c r="H9" s="6" t="s">
        <v>25</v>
      </c>
      <c r="I9" s="7" t="s">
        <v>26</v>
      </c>
      <c r="J9" s="7"/>
      <c r="K9" s="7"/>
    </row>
    <row r="10" customFormat="false" ht="22.35" hidden="false" customHeight="false" outlineLevel="0" collapsed="false">
      <c r="A10" s="5" t="n">
        <v>1</v>
      </c>
      <c r="B10" s="6" t="s">
        <v>30</v>
      </c>
      <c r="C10" s="6" t="s">
        <v>15</v>
      </c>
      <c r="D10" s="6" t="s">
        <v>16</v>
      </c>
      <c r="E10" s="6" t="s">
        <v>17</v>
      </c>
      <c r="F10" s="6" t="s">
        <v>18</v>
      </c>
      <c r="G10" s="7"/>
      <c r="H10" s="6" t="s">
        <v>25</v>
      </c>
      <c r="I10" s="7" t="s">
        <v>26</v>
      </c>
      <c r="J10" s="7"/>
      <c r="K10" s="7"/>
    </row>
    <row r="11" customFormat="false" ht="22.35" hidden="false" customHeight="false" outlineLevel="0" collapsed="false">
      <c r="A11" s="5" t="n">
        <v>1</v>
      </c>
      <c r="B11" s="6" t="s">
        <v>31</v>
      </c>
      <c r="C11" s="6" t="s">
        <v>15</v>
      </c>
      <c r="D11" s="6" t="s">
        <v>16</v>
      </c>
      <c r="E11" s="6" t="s">
        <v>17</v>
      </c>
      <c r="F11" s="6" t="s">
        <v>18</v>
      </c>
      <c r="G11" s="7"/>
      <c r="H11" s="6" t="s">
        <v>25</v>
      </c>
      <c r="I11" s="7" t="s">
        <v>26</v>
      </c>
      <c r="J11" s="7"/>
      <c r="K11" s="7"/>
    </row>
    <row r="12" customFormat="false" ht="22.35" hidden="false" customHeight="false" outlineLevel="0" collapsed="false">
      <c r="A12" s="5" t="n">
        <v>1</v>
      </c>
      <c r="B12" s="6" t="s">
        <v>32</v>
      </c>
      <c r="C12" s="6" t="s">
        <v>15</v>
      </c>
      <c r="D12" s="6" t="s">
        <v>16</v>
      </c>
      <c r="E12" s="6" t="s">
        <v>17</v>
      </c>
      <c r="F12" s="6" t="s">
        <v>18</v>
      </c>
      <c r="G12" s="7"/>
      <c r="H12" s="6" t="s">
        <v>25</v>
      </c>
      <c r="I12" s="7" t="s">
        <v>26</v>
      </c>
      <c r="J12" s="7"/>
      <c r="K12" s="7"/>
    </row>
    <row r="13" customFormat="false" ht="22.35" hidden="false" customHeight="false" outlineLevel="0" collapsed="false">
      <c r="A13" s="5" t="n">
        <v>1</v>
      </c>
      <c r="B13" s="6" t="s">
        <v>33</v>
      </c>
      <c r="C13" s="6" t="s">
        <v>15</v>
      </c>
      <c r="D13" s="6" t="s">
        <v>16</v>
      </c>
      <c r="E13" s="6" t="s">
        <v>17</v>
      </c>
      <c r="F13" s="6" t="s">
        <v>18</v>
      </c>
      <c r="G13" s="7"/>
      <c r="H13" s="6" t="s">
        <v>25</v>
      </c>
      <c r="I13" s="7" t="s">
        <v>26</v>
      </c>
      <c r="J13" s="7"/>
      <c r="K13" s="7"/>
    </row>
    <row r="14" customFormat="false" ht="22.35" hidden="false" customHeight="false" outlineLevel="0" collapsed="false">
      <c r="A14" s="5" t="n">
        <v>1</v>
      </c>
      <c r="B14" s="6" t="s">
        <v>34</v>
      </c>
      <c r="C14" s="6" t="s">
        <v>15</v>
      </c>
      <c r="D14" s="6" t="s">
        <v>16</v>
      </c>
      <c r="E14" s="6" t="s">
        <v>17</v>
      </c>
      <c r="F14" s="6" t="s">
        <v>18</v>
      </c>
      <c r="G14" s="7"/>
      <c r="H14" s="6" t="s">
        <v>25</v>
      </c>
      <c r="I14" s="7" t="s">
        <v>26</v>
      </c>
      <c r="J14" s="7"/>
      <c r="K14" s="7"/>
    </row>
    <row r="15" customFormat="false" ht="22.35" hidden="false" customHeight="false" outlineLevel="0" collapsed="false">
      <c r="A15" s="5" t="n">
        <v>1</v>
      </c>
      <c r="B15" s="6" t="s">
        <v>35</v>
      </c>
      <c r="C15" s="6" t="s">
        <v>15</v>
      </c>
      <c r="D15" s="6" t="s">
        <v>16</v>
      </c>
      <c r="E15" s="6" t="s">
        <v>36</v>
      </c>
      <c r="F15" s="6" t="s">
        <v>18</v>
      </c>
      <c r="G15" s="7"/>
      <c r="H15" s="6" t="s">
        <v>25</v>
      </c>
      <c r="I15" s="7" t="s">
        <v>26</v>
      </c>
      <c r="J15" s="7"/>
      <c r="K15" s="7"/>
    </row>
    <row r="16" customFormat="false" ht="22.35" hidden="false" customHeight="false" outlineLevel="0" collapsed="false">
      <c r="A16" s="5" t="n">
        <v>1</v>
      </c>
      <c r="B16" s="6" t="s">
        <v>37</v>
      </c>
      <c r="C16" s="6" t="s">
        <v>15</v>
      </c>
      <c r="D16" s="6" t="s">
        <v>16</v>
      </c>
      <c r="E16" s="6" t="s">
        <v>38</v>
      </c>
      <c r="F16" s="6" t="s">
        <v>18</v>
      </c>
      <c r="G16" s="7"/>
      <c r="H16" s="6" t="s">
        <v>25</v>
      </c>
      <c r="I16" s="7" t="s">
        <v>26</v>
      </c>
      <c r="J16" s="7"/>
      <c r="K16" s="7"/>
    </row>
    <row r="17" customFormat="false" ht="22.35" hidden="false" customHeight="false" outlineLevel="0" collapsed="false">
      <c r="A17" s="5" t="n">
        <v>2</v>
      </c>
      <c r="B17" s="6" t="s">
        <v>39</v>
      </c>
      <c r="C17" s="6" t="s">
        <v>15</v>
      </c>
      <c r="D17" s="6" t="s">
        <v>40</v>
      </c>
      <c r="E17" s="6" t="s">
        <v>41</v>
      </c>
      <c r="F17" s="6" t="s">
        <v>42</v>
      </c>
      <c r="G17" s="7"/>
      <c r="H17" s="6" t="s">
        <v>43</v>
      </c>
      <c r="I17" s="7" t="s">
        <v>26</v>
      </c>
      <c r="J17" s="7"/>
      <c r="K17" s="7"/>
    </row>
    <row r="18" customFormat="false" ht="15" hidden="false" customHeight="false" outlineLevel="0" collapsed="false">
      <c r="A18" s="5" t="n">
        <v>2</v>
      </c>
      <c r="B18" s="6" t="s">
        <v>44</v>
      </c>
      <c r="C18" s="6" t="s">
        <v>15</v>
      </c>
      <c r="D18" s="6" t="s">
        <v>40</v>
      </c>
      <c r="E18" s="6" t="s">
        <v>45</v>
      </c>
      <c r="F18" s="6" t="s">
        <v>42</v>
      </c>
      <c r="G18" s="7"/>
      <c r="H18" s="6" t="s">
        <v>46</v>
      </c>
      <c r="I18" s="7" t="s">
        <v>26</v>
      </c>
      <c r="J18" s="7"/>
      <c r="K18" s="7"/>
    </row>
    <row r="19" customFormat="false" ht="22.35" hidden="false" customHeight="false" outlineLevel="0" collapsed="false">
      <c r="A19" s="5" t="n">
        <v>2</v>
      </c>
      <c r="B19" s="6" t="s">
        <v>47</v>
      </c>
      <c r="C19" s="6" t="s">
        <v>15</v>
      </c>
      <c r="D19" s="6" t="s">
        <v>48</v>
      </c>
      <c r="E19" s="6" t="s">
        <v>49</v>
      </c>
      <c r="F19" s="6" t="s">
        <v>50</v>
      </c>
      <c r="G19" s="7"/>
      <c r="H19" s="6" t="s">
        <v>51</v>
      </c>
      <c r="I19" s="7" t="s">
        <v>26</v>
      </c>
      <c r="J19" s="7"/>
      <c r="K19" s="7"/>
    </row>
    <row r="20" customFormat="false" ht="15" hidden="false" customHeight="false" outlineLevel="0" collapsed="false">
      <c r="A20" s="5" t="n">
        <v>2</v>
      </c>
      <c r="B20" s="6" t="s">
        <v>52</v>
      </c>
      <c r="C20" s="6" t="s">
        <v>15</v>
      </c>
      <c r="D20" s="6" t="s">
        <v>53</v>
      </c>
      <c r="E20" s="6" t="s">
        <v>54</v>
      </c>
      <c r="F20" s="6" t="s">
        <v>42</v>
      </c>
      <c r="G20" s="7"/>
      <c r="H20" s="6" t="s">
        <v>55</v>
      </c>
      <c r="I20" s="7" t="s">
        <v>26</v>
      </c>
      <c r="J20" s="7"/>
      <c r="K20" s="7"/>
    </row>
    <row r="21" customFormat="false" ht="22.35" hidden="false" customHeight="false" outlineLevel="0" collapsed="false">
      <c r="A21" s="5" t="n">
        <v>2</v>
      </c>
      <c r="B21" s="6" t="s">
        <v>56</v>
      </c>
      <c r="C21" s="6" t="s">
        <v>15</v>
      </c>
      <c r="D21" s="6" t="s">
        <v>40</v>
      </c>
      <c r="E21" s="6" t="s">
        <v>41</v>
      </c>
      <c r="F21" s="6" t="s">
        <v>42</v>
      </c>
      <c r="G21" s="7"/>
      <c r="H21" s="6" t="s">
        <v>43</v>
      </c>
      <c r="I21" s="7" t="s">
        <v>26</v>
      </c>
      <c r="J21" s="7"/>
      <c r="K21" s="7"/>
    </row>
    <row r="22" customFormat="false" ht="22.35" hidden="false" customHeight="false" outlineLevel="0" collapsed="false">
      <c r="A22" s="5" t="n">
        <v>2</v>
      </c>
      <c r="B22" s="6" t="s">
        <v>57</v>
      </c>
      <c r="C22" s="6" t="s">
        <v>15</v>
      </c>
      <c r="D22" s="6" t="s">
        <v>40</v>
      </c>
      <c r="E22" s="6" t="s">
        <v>41</v>
      </c>
      <c r="F22" s="6" t="s">
        <v>42</v>
      </c>
      <c r="G22" s="7"/>
      <c r="H22" s="6" t="s">
        <v>43</v>
      </c>
      <c r="I22" s="7" t="s">
        <v>26</v>
      </c>
      <c r="J22" s="7"/>
      <c r="K22" s="7"/>
    </row>
    <row r="23" customFormat="false" ht="22.35" hidden="false" customHeight="false" outlineLevel="0" collapsed="false">
      <c r="A23" s="5" t="n">
        <v>2</v>
      </c>
      <c r="B23" s="6" t="s">
        <v>58</v>
      </c>
      <c r="C23" s="6" t="s">
        <v>15</v>
      </c>
      <c r="D23" s="6" t="s">
        <v>40</v>
      </c>
      <c r="E23" s="6" t="s">
        <v>41</v>
      </c>
      <c r="F23" s="6" t="s">
        <v>42</v>
      </c>
      <c r="G23" s="7"/>
      <c r="H23" s="6" t="s">
        <v>43</v>
      </c>
      <c r="I23" s="7" t="s">
        <v>26</v>
      </c>
      <c r="J23" s="7"/>
      <c r="K23" s="7"/>
    </row>
    <row r="24" customFormat="false" ht="22.35" hidden="false" customHeight="false" outlineLevel="0" collapsed="false">
      <c r="A24" s="5" t="n">
        <v>2</v>
      </c>
      <c r="B24" s="6" t="s">
        <v>59</v>
      </c>
      <c r="C24" s="6" t="s">
        <v>15</v>
      </c>
      <c r="D24" s="6" t="s">
        <v>40</v>
      </c>
      <c r="E24" s="6" t="s">
        <v>41</v>
      </c>
      <c r="F24" s="6" t="s">
        <v>42</v>
      </c>
      <c r="G24" s="7"/>
      <c r="H24" s="6" t="s">
        <v>43</v>
      </c>
      <c r="I24" s="7" t="s">
        <v>26</v>
      </c>
      <c r="J24" s="7"/>
      <c r="K24" s="7"/>
    </row>
    <row r="25" customFormat="false" ht="22.35" hidden="false" customHeight="false" outlineLevel="0" collapsed="false">
      <c r="A25" s="5" t="n">
        <v>2</v>
      </c>
      <c r="B25" s="6" t="s">
        <v>60</v>
      </c>
      <c r="C25" s="6" t="s">
        <v>15</v>
      </c>
      <c r="D25" s="6" t="s">
        <v>40</v>
      </c>
      <c r="E25" s="6" t="s">
        <v>41</v>
      </c>
      <c r="F25" s="6" t="s">
        <v>42</v>
      </c>
      <c r="G25" s="7"/>
      <c r="H25" s="6" t="s">
        <v>43</v>
      </c>
      <c r="I25" s="7" t="s">
        <v>26</v>
      </c>
      <c r="J25" s="7"/>
      <c r="K25" s="7"/>
    </row>
    <row r="26" customFormat="false" ht="15" hidden="false" customHeight="false" outlineLevel="0" collapsed="false">
      <c r="A26" s="5" t="n">
        <v>2</v>
      </c>
      <c r="B26" s="6" t="s">
        <v>61</v>
      </c>
      <c r="C26" s="6" t="s">
        <v>15</v>
      </c>
      <c r="D26" s="6" t="s">
        <v>40</v>
      </c>
      <c r="E26" s="6" t="s">
        <v>62</v>
      </c>
      <c r="F26" s="6" t="s">
        <v>42</v>
      </c>
      <c r="G26" s="7"/>
      <c r="H26" s="6" t="s">
        <v>46</v>
      </c>
      <c r="I26" s="7" t="s">
        <v>26</v>
      </c>
      <c r="J26" s="7"/>
      <c r="K26" s="7"/>
    </row>
    <row r="27" customFormat="false" ht="22.35" hidden="false" customHeight="false" outlineLevel="0" collapsed="false">
      <c r="A27" s="5" t="n">
        <v>2</v>
      </c>
      <c r="B27" s="6" t="s">
        <v>63</v>
      </c>
      <c r="C27" s="6" t="s">
        <v>15</v>
      </c>
      <c r="D27" s="6" t="s">
        <v>40</v>
      </c>
      <c r="E27" s="6" t="s">
        <v>41</v>
      </c>
      <c r="F27" s="6" t="s">
        <v>42</v>
      </c>
      <c r="G27" s="7"/>
      <c r="H27" s="6" t="s">
        <v>43</v>
      </c>
      <c r="I27" s="7" t="s">
        <v>26</v>
      </c>
      <c r="J27" s="7"/>
      <c r="K27" s="7"/>
    </row>
    <row r="28" customFormat="false" ht="22.35" hidden="false" customHeight="false" outlineLevel="0" collapsed="false">
      <c r="A28" s="5" t="n">
        <v>2</v>
      </c>
      <c r="B28" s="6" t="s">
        <v>64</v>
      </c>
      <c r="C28" s="6" t="s">
        <v>15</v>
      </c>
      <c r="D28" s="6" t="s">
        <v>48</v>
      </c>
      <c r="E28" s="6" t="s">
        <v>49</v>
      </c>
      <c r="F28" s="6" t="s">
        <v>50</v>
      </c>
      <c r="G28" s="7"/>
      <c r="H28" s="6" t="s">
        <v>51</v>
      </c>
      <c r="I28" s="7" t="s">
        <v>26</v>
      </c>
      <c r="J28" s="7"/>
      <c r="K28" s="7"/>
    </row>
    <row r="29" customFormat="false" ht="22.35" hidden="false" customHeight="false" outlineLevel="0" collapsed="false">
      <c r="A29" s="5" t="n">
        <v>2</v>
      </c>
      <c r="B29" s="6" t="s">
        <v>65</v>
      </c>
      <c r="C29" s="6" t="s">
        <v>15</v>
      </c>
      <c r="D29" s="6" t="s">
        <v>48</v>
      </c>
      <c r="E29" s="6" t="s">
        <v>49</v>
      </c>
      <c r="F29" s="6" t="s">
        <v>50</v>
      </c>
      <c r="G29" s="7"/>
      <c r="H29" s="6" t="s">
        <v>51</v>
      </c>
      <c r="I29" s="7" t="s">
        <v>26</v>
      </c>
      <c r="J29" s="7"/>
      <c r="K29" s="7"/>
    </row>
    <row r="30" customFormat="false" ht="22.35" hidden="false" customHeight="false" outlineLevel="0" collapsed="false">
      <c r="A30" s="5" t="n">
        <v>2</v>
      </c>
      <c r="B30" s="6" t="s">
        <v>66</v>
      </c>
      <c r="C30" s="6" t="s">
        <v>15</v>
      </c>
      <c r="D30" s="6" t="s">
        <v>48</v>
      </c>
      <c r="E30" s="6" t="s">
        <v>49</v>
      </c>
      <c r="F30" s="6" t="s">
        <v>50</v>
      </c>
      <c r="G30" s="7"/>
      <c r="H30" s="6" t="s">
        <v>51</v>
      </c>
      <c r="I30" s="7" t="s">
        <v>26</v>
      </c>
      <c r="J30" s="7"/>
      <c r="K30" s="7"/>
    </row>
    <row r="31" customFormat="false" ht="22.35" hidden="false" customHeight="false" outlineLevel="0" collapsed="false">
      <c r="A31" s="5" t="n">
        <v>2</v>
      </c>
      <c r="B31" s="6" t="s">
        <v>67</v>
      </c>
      <c r="C31" s="6" t="s">
        <v>15</v>
      </c>
      <c r="D31" s="6" t="s">
        <v>48</v>
      </c>
      <c r="E31" s="6" t="s">
        <v>49</v>
      </c>
      <c r="F31" s="6" t="s">
        <v>50</v>
      </c>
      <c r="G31" s="7"/>
      <c r="H31" s="6" t="s">
        <v>51</v>
      </c>
      <c r="I31" s="7" t="s">
        <v>26</v>
      </c>
      <c r="J31" s="7"/>
      <c r="K31" s="7"/>
    </row>
    <row r="32" customFormat="false" ht="22.35" hidden="false" customHeight="false" outlineLevel="0" collapsed="false">
      <c r="A32" s="5" t="n">
        <v>2</v>
      </c>
      <c r="B32" s="6" t="s">
        <v>68</v>
      </c>
      <c r="C32" s="6" t="s">
        <v>15</v>
      </c>
      <c r="D32" s="6" t="s">
        <v>48</v>
      </c>
      <c r="E32" s="6" t="s">
        <v>49</v>
      </c>
      <c r="F32" s="6" t="s">
        <v>50</v>
      </c>
      <c r="G32" s="7"/>
      <c r="H32" s="6" t="s">
        <v>51</v>
      </c>
      <c r="I32" s="7" t="s">
        <v>26</v>
      </c>
      <c r="J32" s="7"/>
      <c r="K32" s="7"/>
    </row>
    <row r="33" customFormat="false" ht="22.35" hidden="false" customHeight="false" outlineLevel="0" collapsed="false">
      <c r="A33" s="5" t="n">
        <v>2</v>
      </c>
      <c r="B33" s="6" t="s">
        <v>69</v>
      </c>
      <c r="C33" s="6" t="s">
        <v>15</v>
      </c>
      <c r="D33" s="6" t="s">
        <v>48</v>
      </c>
      <c r="E33" s="6" t="s">
        <v>49</v>
      </c>
      <c r="F33" s="6" t="s">
        <v>50</v>
      </c>
      <c r="G33" s="7"/>
      <c r="H33" s="6" t="s">
        <v>51</v>
      </c>
      <c r="I33" s="7" t="s">
        <v>26</v>
      </c>
      <c r="J33" s="7"/>
      <c r="K33" s="7"/>
    </row>
    <row r="34" customFormat="false" ht="22.35" hidden="false" customHeight="false" outlineLevel="0" collapsed="false">
      <c r="A34" s="5" t="n">
        <v>2</v>
      </c>
      <c r="B34" s="6" t="s">
        <v>70</v>
      </c>
      <c r="C34" s="6" t="s">
        <v>15</v>
      </c>
      <c r="D34" s="6" t="s">
        <v>48</v>
      </c>
      <c r="E34" s="6" t="s">
        <v>49</v>
      </c>
      <c r="F34" s="6" t="s">
        <v>50</v>
      </c>
      <c r="G34" s="7"/>
      <c r="H34" s="6" t="s">
        <v>51</v>
      </c>
      <c r="I34" s="7" t="s">
        <v>26</v>
      </c>
      <c r="J34" s="7"/>
      <c r="K34" s="7"/>
    </row>
    <row r="35" customFormat="false" ht="22.35" hidden="false" customHeight="false" outlineLevel="0" collapsed="false">
      <c r="A35" s="5" t="n">
        <v>2</v>
      </c>
      <c r="B35" s="6" t="s">
        <v>71</v>
      </c>
      <c r="C35" s="6" t="s">
        <v>15</v>
      </c>
      <c r="D35" s="6" t="s">
        <v>48</v>
      </c>
      <c r="E35" s="6" t="s">
        <v>49</v>
      </c>
      <c r="F35" s="6" t="s">
        <v>50</v>
      </c>
      <c r="G35" s="7"/>
      <c r="H35" s="6" t="s">
        <v>51</v>
      </c>
      <c r="I35" s="7" t="s">
        <v>26</v>
      </c>
      <c r="J35" s="7"/>
      <c r="K35" s="7"/>
    </row>
    <row r="36" customFormat="false" ht="22.35" hidden="false" customHeight="false" outlineLevel="0" collapsed="false">
      <c r="A36" s="5" t="n">
        <v>2</v>
      </c>
      <c r="B36" s="6" t="s">
        <v>72</v>
      </c>
      <c r="C36" s="6" t="s">
        <v>15</v>
      </c>
      <c r="D36" s="6" t="s">
        <v>73</v>
      </c>
      <c r="E36" s="6" t="s">
        <v>49</v>
      </c>
      <c r="F36" s="6" t="s">
        <v>50</v>
      </c>
      <c r="G36" s="7"/>
      <c r="H36" s="6" t="s">
        <v>51</v>
      </c>
      <c r="I36" s="7" t="s">
        <v>26</v>
      </c>
      <c r="J36" s="7"/>
      <c r="K36" s="7"/>
    </row>
    <row r="37" customFormat="false" ht="15" hidden="false" customHeight="false" outlineLevel="0" collapsed="false">
      <c r="A37" s="5" t="n">
        <v>2</v>
      </c>
      <c r="B37" s="6" t="s">
        <v>74</v>
      </c>
      <c r="C37" s="6" t="s">
        <v>15</v>
      </c>
      <c r="D37" s="6" t="s">
        <v>75</v>
      </c>
      <c r="E37" s="6" t="s">
        <v>62</v>
      </c>
      <c r="F37" s="6" t="s">
        <v>42</v>
      </c>
      <c r="G37" s="7"/>
      <c r="H37" s="6" t="s">
        <v>46</v>
      </c>
      <c r="I37" s="7" t="s">
        <v>26</v>
      </c>
      <c r="J37" s="7"/>
      <c r="K37" s="7"/>
    </row>
    <row r="38" customFormat="false" ht="15" hidden="false" customHeight="false" outlineLevel="0" collapsed="false">
      <c r="A38" s="5" t="n">
        <v>2</v>
      </c>
      <c r="B38" s="6" t="s">
        <v>76</v>
      </c>
      <c r="C38" s="6" t="s">
        <v>15</v>
      </c>
      <c r="D38" s="6" t="s">
        <v>40</v>
      </c>
      <c r="E38" s="6" t="s">
        <v>45</v>
      </c>
      <c r="F38" s="6" t="s">
        <v>42</v>
      </c>
      <c r="G38" s="7"/>
      <c r="H38" s="6" t="s">
        <v>46</v>
      </c>
      <c r="I38" s="7" t="s">
        <v>26</v>
      </c>
      <c r="J38" s="7"/>
      <c r="K38" s="7"/>
    </row>
    <row r="39" customFormat="false" ht="15" hidden="false" customHeight="false" outlineLevel="0" collapsed="false">
      <c r="A39" s="5" t="n">
        <v>2</v>
      </c>
      <c r="B39" s="6" t="s">
        <v>77</v>
      </c>
      <c r="C39" s="6" t="s">
        <v>15</v>
      </c>
      <c r="D39" s="6" t="s">
        <v>40</v>
      </c>
      <c r="E39" s="6" t="s">
        <v>78</v>
      </c>
      <c r="F39" s="6" t="s">
        <v>42</v>
      </c>
      <c r="G39" s="7"/>
      <c r="H39" s="6" t="s">
        <v>46</v>
      </c>
      <c r="I39" s="7" t="s">
        <v>26</v>
      </c>
      <c r="J39" s="7"/>
      <c r="K39" s="7"/>
    </row>
    <row r="40" customFormat="false" ht="15" hidden="false" customHeight="false" outlineLevel="0" collapsed="false">
      <c r="A40" s="5" t="n">
        <v>2</v>
      </c>
      <c r="B40" s="6" t="s">
        <v>79</v>
      </c>
      <c r="C40" s="6" t="s">
        <v>15</v>
      </c>
      <c r="D40" s="6" t="s">
        <v>80</v>
      </c>
      <c r="E40" s="6" t="s">
        <v>81</v>
      </c>
      <c r="F40" s="6" t="s">
        <v>42</v>
      </c>
      <c r="G40" s="7"/>
      <c r="H40" s="6" t="s">
        <v>46</v>
      </c>
      <c r="I40" s="7" t="s">
        <v>26</v>
      </c>
      <c r="J40" s="7"/>
      <c r="K40" s="7"/>
    </row>
    <row r="41" customFormat="false" ht="15" hidden="false" customHeight="false" outlineLevel="0" collapsed="false">
      <c r="A41" s="5" t="n">
        <v>2</v>
      </c>
      <c r="B41" s="6" t="s">
        <v>82</v>
      </c>
      <c r="C41" s="6" t="s">
        <v>15</v>
      </c>
      <c r="D41" s="6" t="s">
        <v>53</v>
      </c>
      <c r="E41" s="6" t="s">
        <v>54</v>
      </c>
      <c r="F41" s="6" t="s">
        <v>42</v>
      </c>
      <c r="G41" s="7"/>
      <c r="H41" s="6" t="s">
        <v>55</v>
      </c>
      <c r="I41" s="7" t="s">
        <v>26</v>
      </c>
      <c r="J41" s="7"/>
      <c r="K41" s="7"/>
    </row>
    <row r="42" customFormat="false" ht="15" hidden="false" customHeight="false" outlineLevel="0" collapsed="false">
      <c r="A42" s="5" t="n">
        <v>2</v>
      </c>
      <c r="B42" s="6" t="s">
        <v>83</v>
      </c>
      <c r="C42" s="6" t="s">
        <v>15</v>
      </c>
      <c r="D42" s="6" t="s">
        <v>84</v>
      </c>
      <c r="E42" s="6" t="s">
        <v>84</v>
      </c>
      <c r="F42" s="6" t="s">
        <v>42</v>
      </c>
      <c r="G42" s="7"/>
      <c r="H42" s="6" t="s">
        <v>55</v>
      </c>
      <c r="I42" s="7" t="s">
        <v>26</v>
      </c>
      <c r="J42" s="7"/>
      <c r="K42" s="7"/>
    </row>
    <row r="43" customFormat="false" ht="22.35" hidden="false" customHeight="false" outlineLevel="0" collapsed="false">
      <c r="A43" s="5" t="n">
        <v>2</v>
      </c>
      <c r="B43" s="6" t="s">
        <v>85</v>
      </c>
      <c r="C43" s="6" t="s">
        <v>15</v>
      </c>
      <c r="D43" s="6" t="s">
        <v>86</v>
      </c>
      <c r="E43" s="6" t="s">
        <v>17</v>
      </c>
      <c r="F43" s="6" t="s">
        <v>18</v>
      </c>
      <c r="G43" s="7"/>
      <c r="H43" s="6" t="s">
        <v>55</v>
      </c>
      <c r="I43" s="7" t="s">
        <v>26</v>
      </c>
      <c r="J43" s="7"/>
      <c r="K43" s="7"/>
    </row>
    <row r="44" customFormat="false" ht="22.35" hidden="false" customHeight="false" outlineLevel="0" collapsed="false">
      <c r="A44" s="5" t="n">
        <v>3</v>
      </c>
      <c r="B44" s="6" t="s">
        <v>87</v>
      </c>
      <c r="C44" s="6" t="s">
        <v>88</v>
      </c>
      <c r="D44" s="6" t="s">
        <v>16</v>
      </c>
      <c r="E44" s="6" t="s">
        <v>89</v>
      </c>
      <c r="F44" s="6" t="s">
        <v>18</v>
      </c>
      <c r="G44" s="7"/>
      <c r="H44" s="6" t="s">
        <v>25</v>
      </c>
      <c r="I44" s="7" t="s">
        <v>26</v>
      </c>
      <c r="J44" s="7"/>
      <c r="K44" s="7"/>
    </row>
    <row r="45" customFormat="false" ht="22.35" hidden="false" customHeight="false" outlineLevel="0" collapsed="false">
      <c r="A45" s="5" t="n">
        <v>3</v>
      </c>
      <c r="B45" s="6" t="s">
        <v>90</v>
      </c>
      <c r="C45" s="6" t="s">
        <v>88</v>
      </c>
      <c r="D45" s="6" t="s">
        <v>16</v>
      </c>
      <c r="E45" s="6" t="s">
        <v>89</v>
      </c>
      <c r="F45" s="6" t="s">
        <v>18</v>
      </c>
      <c r="G45" s="7"/>
      <c r="H45" s="6" t="s">
        <v>25</v>
      </c>
      <c r="I45" s="7" t="s">
        <v>26</v>
      </c>
      <c r="J45" s="7"/>
      <c r="K45" s="7"/>
    </row>
    <row r="46" customFormat="false" ht="22.35" hidden="false" customHeight="false" outlineLevel="0" collapsed="false">
      <c r="A46" s="5" t="n">
        <v>3</v>
      </c>
      <c r="B46" s="6" t="s">
        <v>91</v>
      </c>
      <c r="C46" s="6" t="s">
        <v>88</v>
      </c>
      <c r="D46" s="6" t="s">
        <v>16</v>
      </c>
      <c r="E46" s="6" t="s">
        <v>89</v>
      </c>
      <c r="F46" s="6" t="s">
        <v>18</v>
      </c>
      <c r="G46" s="7"/>
      <c r="H46" s="6" t="s">
        <v>25</v>
      </c>
      <c r="I46" s="7" t="s">
        <v>26</v>
      </c>
      <c r="J46" s="7"/>
      <c r="K46" s="7"/>
    </row>
    <row r="47" customFormat="false" ht="22.35" hidden="false" customHeight="false" outlineLevel="0" collapsed="false">
      <c r="A47" s="5" t="n">
        <v>3</v>
      </c>
      <c r="B47" s="6" t="s">
        <v>92</v>
      </c>
      <c r="C47" s="6" t="s">
        <v>88</v>
      </c>
      <c r="D47" s="6" t="s">
        <v>16</v>
      </c>
      <c r="E47" s="6" t="s">
        <v>89</v>
      </c>
      <c r="F47" s="6" t="s">
        <v>18</v>
      </c>
      <c r="G47" s="7"/>
      <c r="H47" s="6" t="s">
        <v>25</v>
      </c>
      <c r="I47" s="7" t="s">
        <v>26</v>
      </c>
      <c r="J47" s="7"/>
      <c r="K47" s="7"/>
    </row>
    <row r="48" customFormat="false" ht="22.35" hidden="false" customHeight="false" outlineLevel="0" collapsed="false">
      <c r="A48" s="5" t="n">
        <v>4</v>
      </c>
      <c r="B48" s="6" t="s">
        <v>93</v>
      </c>
      <c r="C48" s="6" t="s">
        <v>88</v>
      </c>
      <c r="D48" s="6" t="s">
        <v>16</v>
      </c>
      <c r="E48" s="6" t="s">
        <v>17</v>
      </c>
      <c r="F48" s="6" t="s">
        <v>18</v>
      </c>
      <c r="G48" s="7"/>
      <c r="H48" s="6" t="s">
        <v>25</v>
      </c>
      <c r="I48" s="7" t="s">
        <v>26</v>
      </c>
      <c r="J48" s="7"/>
      <c r="K48" s="7"/>
    </row>
    <row r="49" customFormat="false" ht="22.35" hidden="false" customHeight="false" outlineLevel="0" collapsed="false">
      <c r="A49" s="5" t="n">
        <v>4</v>
      </c>
      <c r="B49" s="6" t="s">
        <v>94</v>
      </c>
      <c r="C49" s="6" t="s">
        <v>88</v>
      </c>
      <c r="D49" s="6" t="s">
        <v>16</v>
      </c>
      <c r="E49" s="6" t="s">
        <v>17</v>
      </c>
      <c r="F49" s="6" t="s">
        <v>18</v>
      </c>
      <c r="G49" s="7"/>
      <c r="H49" s="6" t="s">
        <v>25</v>
      </c>
      <c r="I49" s="7" t="s">
        <v>26</v>
      </c>
      <c r="J49" s="7"/>
      <c r="K49" s="7"/>
    </row>
    <row r="50" customFormat="false" ht="22.35" hidden="false" customHeight="false" outlineLevel="0" collapsed="false">
      <c r="A50" s="5" t="n">
        <v>4</v>
      </c>
      <c r="B50" s="6" t="s">
        <v>95</v>
      </c>
      <c r="C50" s="6" t="s">
        <v>88</v>
      </c>
      <c r="D50" s="6" t="s">
        <v>16</v>
      </c>
      <c r="E50" s="6" t="s">
        <v>17</v>
      </c>
      <c r="F50" s="6" t="s">
        <v>18</v>
      </c>
      <c r="G50" s="7"/>
      <c r="H50" s="6" t="s">
        <v>25</v>
      </c>
      <c r="I50" s="7" t="s">
        <v>26</v>
      </c>
      <c r="J50" s="7"/>
      <c r="K50" s="7"/>
    </row>
    <row r="51" customFormat="false" ht="22.35" hidden="false" customHeight="false" outlineLevel="0" collapsed="false">
      <c r="A51" s="5" t="n">
        <v>4</v>
      </c>
      <c r="B51" s="6" t="s">
        <v>96</v>
      </c>
      <c r="C51" s="6" t="s">
        <v>88</v>
      </c>
      <c r="D51" s="6" t="s">
        <v>16</v>
      </c>
      <c r="E51" s="6" t="s">
        <v>17</v>
      </c>
      <c r="F51" s="6" t="s">
        <v>18</v>
      </c>
      <c r="G51" s="7"/>
      <c r="H51" s="6" t="s">
        <v>25</v>
      </c>
      <c r="I51" s="7" t="s">
        <v>26</v>
      </c>
      <c r="J51" s="7"/>
      <c r="K51" s="7"/>
    </row>
    <row r="52" customFormat="false" ht="22.35" hidden="false" customHeight="false" outlineLevel="0" collapsed="false">
      <c r="A52" s="5" t="n">
        <v>4</v>
      </c>
      <c r="B52" s="6" t="s">
        <v>97</v>
      </c>
      <c r="C52" s="6" t="s">
        <v>88</v>
      </c>
      <c r="D52" s="6" t="s">
        <v>16</v>
      </c>
      <c r="E52" s="6" t="s">
        <v>98</v>
      </c>
      <c r="F52" s="6" t="s">
        <v>18</v>
      </c>
      <c r="G52" s="7"/>
      <c r="H52" s="6" t="s">
        <v>25</v>
      </c>
      <c r="I52" s="7" t="s">
        <v>26</v>
      </c>
      <c r="J52" s="7"/>
      <c r="K52" s="7"/>
    </row>
    <row r="53" customFormat="false" ht="15" hidden="false" customHeight="false" outlineLevel="0" collapsed="false">
      <c r="A53" s="5" t="n">
        <v>3</v>
      </c>
      <c r="B53" s="6" t="s">
        <v>99</v>
      </c>
      <c r="C53" s="6" t="s">
        <v>88</v>
      </c>
      <c r="D53" s="6" t="s">
        <v>100</v>
      </c>
      <c r="E53" s="6" t="s">
        <v>45</v>
      </c>
      <c r="F53" s="6" t="s">
        <v>42</v>
      </c>
      <c r="G53" s="7"/>
      <c r="H53" s="6" t="s">
        <v>46</v>
      </c>
      <c r="I53" s="7" t="s">
        <v>26</v>
      </c>
      <c r="J53" s="7"/>
      <c r="K53" s="7"/>
    </row>
    <row r="54" customFormat="false" ht="15" hidden="false" customHeight="false" outlineLevel="0" collapsed="false">
      <c r="A54" s="5" t="n">
        <v>3</v>
      </c>
      <c r="B54" s="6" t="s">
        <v>101</v>
      </c>
      <c r="C54" s="6" t="s">
        <v>88</v>
      </c>
      <c r="D54" s="6" t="s">
        <v>100</v>
      </c>
      <c r="E54" s="6" t="s">
        <v>45</v>
      </c>
      <c r="F54" s="6" t="s">
        <v>42</v>
      </c>
      <c r="G54" s="7"/>
      <c r="H54" s="6" t="s">
        <v>46</v>
      </c>
      <c r="I54" s="7" t="s">
        <v>26</v>
      </c>
      <c r="J54" s="7"/>
      <c r="K54" s="7"/>
    </row>
    <row r="55" customFormat="false" ht="15" hidden="false" customHeight="false" outlineLevel="0" collapsed="false">
      <c r="A55" s="5" t="n">
        <v>4</v>
      </c>
      <c r="B55" s="6" t="s">
        <v>102</v>
      </c>
      <c r="C55" s="6" t="s">
        <v>88</v>
      </c>
      <c r="D55" s="6" t="s">
        <v>100</v>
      </c>
      <c r="E55" s="6" t="s">
        <v>45</v>
      </c>
      <c r="F55" s="6" t="s">
        <v>42</v>
      </c>
      <c r="G55" s="7"/>
      <c r="H55" s="6" t="s">
        <v>46</v>
      </c>
      <c r="I55" s="7" t="s">
        <v>26</v>
      </c>
      <c r="J55" s="7"/>
      <c r="K55" s="7"/>
    </row>
    <row r="56" customFormat="false" ht="15" hidden="false" customHeight="false" outlineLevel="0" collapsed="false">
      <c r="A56" s="5" t="n">
        <v>4</v>
      </c>
      <c r="B56" s="6" t="s">
        <v>103</v>
      </c>
      <c r="C56" s="6" t="s">
        <v>88</v>
      </c>
      <c r="D56" s="6" t="s">
        <v>100</v>
      </c>
      <c r="E56" s="6" t="s">
        <v>45</v>
      </c>
      <c r="F56" s="6" t="s">
        <v>42</v>
      </c>
      <c r="G56" s="7"/>
      <c r="H56" s="6" t="s">
        <v>46</v>
      </c>
      <c r="I56" s="7" t="s">
        <v>26</v>
      </c>
      <c r="J56" s="7"/>
      <c r="K56" s="7"/>
    </row>
    <row r="57" customFormat="false" ht="15" hidden="false" customHeight="false" outlineLevel="0" collapsed="false">
      <c r="A57" s="5" t="n">
        <v>4</v>
      </c>
      <c r="B57" s="6" t="s">
        <v>104</v>
      </c>
      <c r="C57" s="6" t="s">
        <v>88</v>
      </c>
      <c r="D57" s="6" t="s">
        <v>100</v>
      </c>
      <c r="E57" s="6" t="s">
        <v>45</v>
      </c>
      <c r="F57" s="6" t="s">
        <v>42</v>
      </c>
      <c r="G57" s="7"/>
      <c r="H57" s="6" t="s">
        <v>46</v>
      </c>
      <c r="I57" s="7" t="s">
        <v>26</v>
      </c>
      <c r="J57" s="7"/>
      <c r="K57" s="7"/>
    </row>
    <row r="58" customFormat="false" ht="15" hidden="false" customHeight="false" outlineLevel="0" collapsed="false">
      <c r="A58" s="5" t="n">
        <v>4</v>
      </c>
      <c r="B58" s="6" t="s">
        <v>105</v>
      </c>
      <c r="C58" s="6" t="s">
        <v>88</v>
      </c>
      <c r="D58" s="6" t="s">
        <v>100</v>
      </c>
      <c r="E58" s="6" t="s">
        <v>45</v>
      </c>
      <c r="F58" s="6" t="s">
        <v>42</v>
      </c>
      <c r="G58" s="7"/>
      <c r="H58" s="6" t="s">
        <v>46</v>
      </c>
      <c r="I58" s="7" t="s">
        <v>26</v>
      </c>
      <c r="J58" s="7"/>
      <c r="K58" s="7"/>
    </row>
    <row r="59" customFormat="false" ht="15" hidden="false" customHeight="false" outlineLevel="0" collapsed="false">
      <c r="A59" s="5" t="n">
        <v>4</v>
      </c>
      <c r="B59" s="6" t="s">
        <v>106</v>
      </c>
      <c r="C59" s="6" t="s">
        <v>88</v>
      </c>
      <c r="D59" s="6" t="s">
        <v>100</v>
      </c>
      <c r="E59" s="6" t="s">
        <v>45</v>
      </c>
      <c r="F59" s="6" t="s">
        <v>42</v>
      </c>
      <c r="G59" s="7"/>
      <c r="H59" s="6" t="s">
        <v>46</v>
      </c>
      <c r="I59" s="7" t="s">
        <v>26</v>
      </c>
      <c r="J59" s="7"/>
      <c r="K59" s="7"/>
    </row>
    <row r="60" customFormat="false" ht="15" hidden="false" customHeight="false" outlineLevel="0" collapsed="false">
      <c r="A60" s="5" t="n">
        <v>4</v>
      </c>
      <c r="B60" s="6" t="s">
        <v>107</v>
      </c>
      <c r="C60" s="6" t="s">
        <v>88</v>
      </c>
      <c r="D60" s="6" t="s">
        <v>40</v>
      </c>
      <c r="E60" s="6" t="s">
        <v>45</v>
      </c>
      <c r="F60" s="6" t="s">
        <v>42</v>
      </c>
      <c r="G60" s="7"/>
      <c r="H60" s="6" t="s">
        <v>46</v>
      </c>
      <c r="I60" s="7" t="s">
        <v>26</v>
      </c>
      <c r="J60" s="7"/>
      <c r="K60" s="7"/>
    </row>
    <row r="61" customFormat="false" ht="15" hidden="false" customHeight="false" outlineLevel="0" collapsed="false">
      <c r="A61" s="5" t="n">
        <v>4</v>
      </c>
      <c r="B61" s="6" t="s">
        <v>108</v>
      </c>
      <c r="C61" s="6" t="s">
        <v>88</v>
      </c>
      <c r="D61" s="6" t="s">
        <v>40</v>
      </c>
      <c r="E61" s="6" t="s">
        <v>45</v>
      </c>
      <c r="F61" s="6" t="s">
        <v>42</v>
      </c>
      <c r="G61" s="7"/>
      <c r="H61" s="6" t="s">
        <v>46</v>
      </c>
      <c r="I61" s="7" t="s">
        <v>26</v>
      </c>
      <c r="J61" s="7"/>
      <c r="K61" s="7"/>
    </row>
    <row r="62" customFormat="false" ht="15" hidden="false" customHeight="false" outlineLevel="0" collapsed="false">
      <c r="A62" s="5" t="n">
        <v>4</v>
      </c>
      <c r="B62" s="6" t="s">
        <v>109</v>
      </c>
      <c r="C62" s="6" t="s">
        <v>88</v>
      </c>
      <c r="D62" s="6" t="s">
        <v>40</v>
      </c>
      <c r="E62" s="6" t="s">
        <v>45</v>
      </c>
      <c r="F62" s="6" t="s">
        <v>42</v>
      </c>
      <c r="G62" s="7"/>
      <c r="H62" s="6" t="s">
        <v>46</v>
      </c>
      <c r="I62" s="7" t="s">
        <v>26</v>
      </c>
      <c r="J62" s="7"/>
      <c r="K62" s="7"/>
    </row>
    <row r="63" customFormat="false" ht="15" hidden="false" customHeight="false" outlineLevel="0" collapsed="false">
      <c r="A63" s="5" t="n">
        <v>4</v>
      </c>
      <c r="B63" s="6" t="s">
        <v>110</v>
      </c>
      <c r="C63" s="6" t="s">
        <v>88</v>
      </c>
      <c r="D63" s="6" t="s">
        <v>40</v>
      </c>
      <c r="E63" s="6" t="s">
        <v>45</v>
      </c>
      <c r="F63" s="6" t="s">
        <v>42</v>
      </c>
      <c r="G63" s="7"/>
      <c r="H63" s="6" t="s">
        <v>46</v>
      </c>
      <c r="I63" s="7" t="s">
        <v>26</v>
      </c>
      <c r="J63" s="7"/>
      <c r="K63" s="7"/>
    </row>
    <row r="64" customFormat="false" ht="15" hidden="false" customHeight="false" outlineLevel="0" collapsed="false">
      <c r="A64" s="5" t="n">
        <v>4</v>
      </c>
      <c r="B64" s="6" t="s">
        <v>111</v>
      </c>
      <c r="C64" s="6" t="s">
        <v>88</v>
      </c>
      <c r="D64" s="6" t="s">
        <v>100</v>
      </c>
      <c r="E64" s="6" t="s">
        <v>45</v>
      </c>
      <c r="F64" s="6" t="s">
        <v>42</v>
      </c>
      <c r="G64" s="7"/>
      <c r="H64" s="6" t="s">
        <v>46</v>
      </c>
      <c r="I64" s="7" t="s">
        <v>26</v>
      </c>
      <c r="J64" s="7"/>
      <c r="K64" s="7"/>
    </row>
    <row r="65" customFormat="false" ht="15" hidden="false" customHeight="false" outlineLevel="0" collapsed="false">
      <c r="A65" s="5" t="n">
        <v>4</v>
      </c>
      <c r="B65" s="6" t="s">
        <v>112</v>
      </c>
      <c r="C65" s="6" t="s">
        <v>88</v>
      </c>
      <c r="D65" s="6" t="s">
        <v>100</v>
      </c>
      <c r="E65" s="6" t="s">
        <v>45</v>
      </c>
      <c r="F65" s="6" t="s">
        <v>42</v>
      </c>
      <c r="G65" s="7"/>
      <c r="H65" s="6" t="s">
        <v>46</v>
      </c>
      <c r="I65" s="7" t="s">
        <v>26</v>
      </c>
      <c r="J65" s="7"/>
      <c r="K65" s="7"/>
    </row>
    <row r="66" customFormat="false" ht="22.35" hidden="false" customHeight="false" outlineLevel="0" collapsed="false">
      <c r="A66" s="5" t="n">
        <v>4</v>
      </c>
      <c r="B66" s="6" t="s">
        <v>113</v>
      </c>
      <c r="C66" s="6" t="s">
        <v>88</v>
      </c>
      <c r="D66" s="6" t="s">
        <v>114</v>
      </c>
      <c r="E66" s="6" t="s">
        <v>75</v>
      </c>
      <c r="F66" s="6" t="s">
        <v>42</v>
      </c>
      <c r="G66" s="7"/>
      <c r="H66" s="6" t="s">
        <v>43</v>
      </c>
      <c r="I66" s="7" t="s">
        <v>26</v>
      </c>
      <c r="J66" s="7"/>
      <c r="K66" s="7"/>
    </row>
    <row r="67" customFormat="false" ht="22.35" hidden="false" customHeight="false" outlineLevel="0" collapsed="false">
      <c r="A67" s="5" t="n">
        <v>4</v>
      </c>
      <c r="B67" s="6" t="s">
        <v>115</v>
      </c>
      <c r="C67" s="6" t="s">
        <v>88</v>
      </c>
      <c r="D67" s="6" t="s">
        <v>114</v>
      </c>
      <c r="E67" s="6" t="s">
        <v>75</v>
      </c>
      <c r="F67" s="6" t="s">
        <v>42</v>
      </c>
      <c r="G67" s="7"/>
      <c r="H67" s="6" t="s">
        <v>43</v>
      </c>
      <c r="I67" s="7" t="s">
        <v>26</v>
      </c>
      <c r="J67" s="7"/>
      <c r="K67" s="7"/>
    </row>
    <row r="68" customFormat="false" ht="22.35" hidden="false" customHeight="false" outlineLevel="0" collapsed="false">
      <c r="A68" s="5" t="n">
        <v>4</v>
      </c>
      <c r="B68" s="6" t="s">
        <v>116</v>
      </c>
      <c r="C68" s="6" t="s">
        <v>88</v>
      </c>
      <c r="D68" s="6" t="s">
        <v>114</v>
      </c>
      <c r="E68" s="6" t="s">
        <v>75</v>
      </c>
      <c r="F68" s="6" t="s">
        <v>42</v>
      </c>
      <c r="G68" s="7"/>
      <c r="H68" s="6" t="s">
        <v>43</v>
      </c>
      <c r="I68" s="7" t="s">
        <v>26</v>
      </c>
      <c r="J68" s="7"/>
      <c r="K68" s="7"/>
    </row>
    <row r="69" customFormat="false" ht="22.35" hidden="false" customHeight="false" outlineLevel="0" collapsed="false">
      <c r="A69" s="5" t="n">
        <v>4</v>
      </c>
      <c r="B69" s="6" t="s">
        <v>117</v>
      </c>
      <c r="C69" s="6" t="s">
        <v>88</v>
      </c>
      <c r="D69" s="6" t="s">
        <v>114</v>
      </c>
      <c r="E69" s="6" t="s">
        <v>75</v>
      </c>
      <c r="F69" s="6" t="s">
        <v>42</v>
      </c>
      <c r="G69" s="7"/>
      <c r="H69" s="6" t="s">
        <v>43</v>
      </c>
      <c r="I69" s="7" t="s">
        <v>26</v>
      </c>
      <c r="J69" s="7"/>
      <c r="K69" s="7"/>
    </row>
    <row r="70" customFormat="false" ht="22.35" hidden="false" customHeight="false" outlineLevel="0" collapsed="false">
      <c r="A70" s="5" t="n">
        <v>4</v>
      </c>
      <c r="B70" s="6" t="s">
        <v>118</v>
      </c>
      <c r="C70" s="6" t="s">
        <v>88</v>
      </c>
      <c r="D70" s="6" t="s">
        <v>40</v>
      </c>
      <c r="E70" s="6" t="s">
        <v>75</v>
      </c>
      <c r="F70" s="6" t="s">
        <v>42</v>
      </c>
      <c r="G70" s="7"/>
      <c r="H70" s="6" t="s">
        <v>43</v>
      </c>
      <c r="I70" s="7" t="s">
        <v>26</v>
      </c>
      <c r="J70" s="7"/>
      <c r="K70" s="7"/>
    </row>
    <row r="71" customFormat="false" ht="22.35" hidden="false" customHeight="false" outlineLevel="0" collapsed="false">
      <c r="A71" s="5" t="n">
        <v>4</v>
      </c>
      <c r="B71" s="6" t="s">
        <v>119</v>
      </c>
      <c r="C71" s="6" t="s">
        <v>88</v>
      </c>
      <c r="D71" s="6" t="s">
        <v>114</v>
      </c>
      <c r="E71" s="6" t="s">
        <v>75</v>
      </c>
      <c r="F71" s="6" t="s">
        <v>42</v>
      </c>
      <c r="G71" s="7"/>
      <c r="H71" s="6" t="s">
        <v>43</v>
      </c>
      <c r="I71" s="7" t="s">
        <v>26</v>
      </c>
      <c r="J71" s="7"/>
      <c r="K71" s="7"/>
    </row>
    <row r="72" customFormat="false" ht="15" hidden="false" customHeight="false" outlineLevel="0" collapsed="false">
      <c r="A72" s="5" t="n">
        <v>4</v>
      </c>
      <c r="B72" s="6" t="s">
        <v>120</v>
      </c>
      <c r="C72" s="6" t="s">
        <v>88</v>
      </c>
      <c r="D72" s="6" t="s">
        <v>40</v>
      </c>
      <c r="E72" s="6" t="s">
        <v>62</v>
      </c>
      <c r="F72" s="6" t="s">
        <v>42</v>
      </c>
      <c r="G72" s="7"/>
      <c r="H72" s="6" t="s">
        <v>46</v>
      </c>
      <c r="I72" s="7" t="s">
        <v>26</v>
      </c>
      <c r="J72" s="7"/>
      <c r="K72" s="7"/>
    </row>
    <row r="73" customFormat="false" ht="15" hidden="false" customHeight="false" outlineLevel="0" collapsed="false">
      <c r="A73" s="5" t="n">
        <v>4</v>
      </c>
      <c r="B73" s="6" t="s">
        <v>121</v>
      </c>
      <c r="C73" s="6" t="s">
        <v>88</v>
      </c>
      <c r="D73" s="6" t="s">
        <v>40</v>
      </c>
      <c r="E73" s="6" t="s">
        <v>41</v>
      </c>
      <c r="F73" s="6" t="s">
        <v>42</v>
      </c>
      <c r="G73" s="7"/>
      <c r="H73" s="6" t="s">
        <v>46</v>
      </c>
      <c r="I73" s="7" t="s">
        <v>26</v>
      </c>
      <c r="J73" s="7"/>
      <c r="K73" s="7"/>
    </row>
    <row r="74" customFormat="false" ht="15" hidden="false" customHeight="false" outlineLevel="0" collapsed="false">
      <c r="A74" s="5" t="n">
        <v>4</v>
      </c>
      <c r="B74" s="6" t="s">
        <v>122</v>
      </c>
      <c r="C74" s="6" t="s">
        <v>88</v>
      </c>
      <c r="D74" s="6" t="s">
        <v>40</v>
      </c>
      <c r="E74" s="6" t="s">
        <v>62</v>
      </c>
      <c r="F74" s="6" t="s">
        <v>42</v>
      </c>
      <c r="G74" s="7"/>
      <c r="H74" s="6" t="s">
        <v>46</v>
      </c>
      <c r="I74" s="7" t="s">
        <v>26</v>
      </c>
      <c r="J74" s="7"/>
      <c r="K74" s="7"/>
    </row>
    <row r="75" customFormat="false" ht="22.35" hidden="false" customHeight="false" outlineLevel="0" collapsed="false">
      <c r="A75" s="5" t="n">
        <v>4</v>
      </c>
      <c r="B75" s="6" t="s">
        <v>123</v>
      </c>
      <c r="C75" s="6" t="s">
        <v>88</v>
      </c>
      <c r="D75" s="6" t="s">
        <v>73</v>
      </c>
      <c r="E75" s="6" t="s">
        <v>49</v>
      </c>
      <c r="F75" s="6" t="s">
        <v>50</v>
      </c>
      <c r="G75" s="7"/>
      <c r="H75" s="6" t="s">
        <v>51</v>
      </c>
      <c r="I75" s="7" t="s">
        <v>26</v>
      </c>
      <c r="J75" s="7"/>
      <c r="K75" s="7"/>
    </row>
    <row r="76" customFormat="false" ht="22.35" hidden="false" customHeight="false" outlineLevel="0" collapsed="false">
      <c r="A76" s="5" t="n">
        <v>4</v>
      </c>
      <c r="B76" s="6" t="s">
        <v>124</v>
      </c>
      <c r="C76" s="6" t="s">
        <v>88</v>
      </c>
      <c r="D76" s="6" t="s">
        <v>40</v>
      </c>
      <c r="E76" s="6" t="s">
        <v>49</v>
      </c>
      <c r="F76" s="6" t="s">
        <v>50</v>
      </c>
      <c r="G76" s="7"/>
      <c r="H76" s="6" t="s">
        <v>125</v>
      </c>
      <c r="I76" s="7" t="s">
        <v>26</v>
      </c>
      <c r="J76" s="7"/>
      <c r="K76" s="7"/>
    </row>
    <row r="77" customFormat="false" ht="22.35" hidden="false" customHeight="false" outlineLevel="0" collapsed="false">
      <c r="A77" s="5" t="n">
        <v>4</v>
      </c>
      <c r="B77" s="6" t="s">
        <v>126</v>
      </c>
      <c r="C77" s="6" t="s">
        <v>88</v>
      </c>
      <c r="D77" s="6" t="s">
        <v>40</v>
      </c>
      <c r="E77" s="6" t="s">
        <v>49</v>
      </c>
      <c r="F77" s="6" t="s">
        <v>50</v>
      </c>
      <c r="G77" s="7"/>
      <c r="H77" s="6" t="s">
        <v>51</v>
      </c>
      <c r="I77" s="7" t="s">
        <v>26</v>
      </c>
      <c r="J77" s="7"/>
      <c r="K77" s="7"/>
    </row>
  </sheetData>
  <mergeCells count="2">
    <mergeCell ref="A1:K1"/>
    <mergeCell ref="A2:K2"/>
  </mergeCells>
  <dataValidations count="1">
    <dataValidation allowBlank="true" errorStyle="stop" operator="between" showDropDown="false" showErrorMessage="false" showInputMessage="false" sqref="I6:I77" type="list">
      <formula1>"Not started,Reached out,In talks,Piloting,Live,Passed"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6"/>
  </cols>
  <sheetData>
    <row r="1" customFormat="false" ht="17.35" hidden="false" customHeight="false" outlineLevel="0" collapsed="false">
      <c r="A1" s="8" t="s">
        <v>127</v>
      </c>
    </row>
    <row r="3" customFormat="false" ht="15" hidden="false" customHeight="false" outlineLevel="0" collapsed="false">
      <c r="A3" s="9" t="s">
        <v>10</v>
      </c>
      <c r="B3" s="9" t="s">
        <v>128</v>
      </c>
    </row>
    <row r="4" customFormat="false" ht="15" hidden="false" customHeight="false" outlineLevel="0" collapsed="false">
      <c r="A4" s="10" t="s">
        <v>26</v>
      </c>
      <c r="B4" s="10" t="n">
        <f aca="false">COUNTIF(Targets!$I$6:$I$77,"Not started")</f>
        <v>72</v>
      </c>
    </row>
    <row r="5" customFormat="false" ht="15" hidden="false" customHeight="false" outlineLevel="0" collapsed="false">
      <c r="A5" s="10" t="s">
        <v>21</v>
      </c>
      <c r="B5" s="10" t="n">
        <f aca="false">COUNTIF(Targets!$I$6:$I$77,"Reached out")</f>
        <v>0</v>
      </c>
    </row>
    <row r="6" customFormat="false" ht="15" hidden="false" customHeight="false" outlineLevel="0" collapsed="false">
      <c r="A6" s="10" t="s">
        <v>129</v>
      </c>
      <c r="B6" s="10" t="n">
        <f aca="false">COUNTIF(Targets!$I$6:$I$77,"In talks")</f>
        <v>0</v>
      </c>
    </row>
    <row r="7" customFormat="false" ht="15" hidden="false" customHeight="false" outlineLevel="0" collapsed="false">
      <c r="A7" s="10" t="s">
        <v>130</v>
      </c>
      <c r="B7" s="10" t="n">
        <f aca="false">COUNTIF(Targets!$I$6:$I$77,"Piloting")</f>
        <v>0</v>
      </c>
    </row>
    <row r="8" customFormat="false" ht="15" hidden="false" customHeight="false" outlineLevel="0" collapsed="false">
      <c r="A8" s="10" t="s">
        <v>131</v>
      </c>
      <c r="B8" s="10" t="n">
        <f aca="false">COUNTIF(Targets!$I$6:$I$77,"Live")</f>
        <v>0</v>
      </c>
    </row>
    <row r="9" customFormat="false" ht="15" hidden="false" customHeight="false" outlineLevel="0" collapsed="false">
      <c r="A9" s="10" t="s">
        <v>132</v>
      </c>
      <c r="B9" s="10" t="n">
        <f aca="false">COUNTIF(Targets!$I$6:$I$77,"Passed")</f>
        <v>0</v>
      </c>
    </row>
    <row r="10" customFormat="false" ht="15" hidden="false" customHeight="false" outlineLevel="0" collapsed="false">
      <c r="A10" s="11" t="s">
        <v>133</v>
      </c>
      <c r="B10" s="11" t="n">
        <f aca="false">COUNTA(Targets!$I$6:$I$77)</f>
        <v>72</v>
      </c>
    </row>
    <row r="12" customFormat="false" ht="15" hidden="false" customHeight="false" outlineLevel="0" collapsed="false">
      <c r="A12" s="11" t="s">
        <v>134</v>
      </c>
    </row>
    <row r="13" customFormat="false" ht="15" hidden="false" customHeight="false" outlineLevel="0" collapsed="false">
      <c r="A13" s="0" t="s">
        <v>15</v>
      </c>
      <c r="B13" s="0" t="n">
        <f aca="false">COUNTIF(Targets!$C$6:$C$77,"Laurier")</f>
        <v>38</v>
      </c>
    </row>
    <row r="14" customFormat="false" ht="15" hidden="false" customHeight="false" outlineLevel="0" collapsed="false">
      <c r="A14" s="0" t="s">
        <v>88</v>
      </c>
      <c r="B14" s="0" t="n">
        <f aca="false">COUNTIF(Targets!$C$6:$C$77,"Waterloo")</f>
        <v>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2026-09-02T18:45:34Z</dcterms:created>
  <dc:creator>openpyxl</dc:creator>
  <dc:description/>
  <dc:language>en-US</dc:language>
  <cp:lastModifiedBy/>
  <dcterms:modified xsi:type="dcterms:W3CDTF">2026-09-02T18:45:35Z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